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1EASU1741\OneDrive\Documentos\GitHub\GA-PracticaExperimental-Unidad-III\docs\benchmark\"/>
    </mc:Choice>
  </mc:AlternateContent>
  <xr:revisionPtr revIDLastSave="0" documentId="13_ncr:1_{F3AF26CF-9CDF-4F31-8D75-52C15E12CDE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Benchmark Cache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7" i="1" l="1"/>
  <c r="B17" i="1"/>
  <c r="C16" i="1"/>
  <c r="B16" i="1"/>
  <c r="C15" i="1"/>
  <c r="B15" i="1"/>
  <c r="B19" i="1" s="1"/>
  <c r="B20" i="1" s="1"/>
</calcChain>
</file>

<file path=xl/sharedStrings.xml><?xml version="1.0" encoding="utf-8"?>
<sst xmlns="http://schemas.openxmlformats.org/spreadsheetml/2006/main" count="10" uniqueCount="10">
  <si>
    <t>Iteracion</t>
  </si>
  <si>
    <t>Sin cache (ms)</t>
  </si>
  <si>
    <t>Con cache (ms)</t>
  </si>
  <si>
    <t>Media</t>
  </si>
  <si>
    <t>Desv. estandar</t>
  </si>
  <si>
    <t>Speedup S = Tsin/Tcon</t>
  </si>
  <si>
    <t>Resultados del Benchmark de Cache (Paso 3.2)</t>
  </si>
  <si>
    <t>n = 10 repeticiones sobre GET /api/entidades?page=0&amp;size=20&amp;sort=precio,desc</t>
  </si>
  <si>
    <t>P95</t>
  </si>
  <si>
    <t>Justifica Redis (S &gt; 2)?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</si>
</sst>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b/>
      <sz val="14"/>
      <name val="Arial"/>
      <charset val="1"/>
    </font>
    <font>
      <i/>
      <sz val="10"/>
      <name val="Arial"/>
      <charset val="1"/>
    </font>
    <font>
      <u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0" fillId="0" borderId="0" xfId="0" applyNumberFormat="1"/>
    <xf numFmtId="2" fontId="0" fillId="0" borderId="0" xfId="0" applyNumberForma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workbookViewId="0">
      <selection activeCell="D22" sqref="D22"/>
    </sheetView>
  </sheetViews>
  <sheetFormatPr baseColWidth="10" defaultColWidth="8.6640625" defaultRowHeight="14.4" x14ac:dyDescent="0.3"/>
  <cols>
    <col min="1" max="1" width="23.5546875" bestFit="1" customWidth="1"/>
    <col min="2" max="2" width="21" customWidth="1"/>
    <col min="3" max="3" width="26.5546875" customWidth="1"/>
  </cols>
  <sheetData>
    <row r="1" spans="1:3" ht="17.399999999999999" x14ac:dyDescent="0.3">
      <c r="A1" s="2" t="s">
        <v>6</v>
      </c>
      <c r="B1" s="2"/>
      <c r="C1" s="2"/>
    </row>
    <row r="2" spans="1:3" x14ac:dyDescent="0.3">
      <c r="A2" s="3" t="s">
        <v>7</v>
      </c>
      <c r="B2" s="3"/>
      <c r="C2" s="3"/>
    </row>
    <row r="4" spans="1:3" x14ac:dyDescent="0.3">
      <c r="A4" s="4" t="s">
        <v>0</v>
      </c>
      <c r="B4" s="4" t="s">
        <v>1</v>
      </c>
      <c r="C4" s="4" t="s">
        <v>2</v>
      </c>
    </row>
    <row r="5" spans="1:3" x14ac:dyDescent="0.3">
      <c r="A5" s="5">
        <v>1</v>
      </c>
      <c r="B5" s="6">
        <v>43.38</v>
      </c>
      <c r="C5" s="6">
        <v>13.64</v>
      </c>
    </row>
    <row r="6" spans="1:3" x14ac:dyDescent="0.3">
      <c r="A6" s="5">
        <v>2</v>
      </c>
      <c r="B6" s="6">
        <v>41.75</v>
      </c>
      <c r="C6" s="6">
        <v>13.96</v>
      </c>
    </row>
    <row r="7" spans="1:3" x14ac:dyDescent="0.3">
      <c r="A7" s="5">
        <v>3</v>
      </c>
      <c r="B7" s="6">
        <v>36.07</v>
      </c>
      <c r="C7" s="6">
        <v>12.34</v>
      </c>
    </row>
    <row r="8" spans="1:3" x14ac:dyDescent="0.3">
      <c r="A8" s="5">
        <v>4</v>
      </c>
      <c r="B8" s="6">
        <v>49.87</v>
      </c>
      <c r="C8" s="6">
        <v>13.76</v>
      </c>
    </row>
    <row r="9" spans="1:3" x14ac:dyDescent="0.3">
      <c r="A9" s="5">
        <v>5</v>
      </c>
      <c r="B9" s="6">
        <v>37.020000000000003</v>
      </c>
      <c r="C9" s="6">
        <v>13.42</v>
      </c>
    </row>
    <row r="10" spans="1:3" x14ac:dyDescent="0.3">
      <c r="A10" s="5">
        <v>6</v>
      </c>
      <c r="B10" s="6">
        <v>47.7</v>
      </c>
      <c r="C10" s="6">
        <v>16.41</v>
      </c>
    </row>
    <row r="11" spans="1:3" x14ac:dyDescent="0.3">
      <c r="A11" s="5">
        <v>7</v>
      </c>
      <c r="B11" s="6">
        <v>36.49</v>
      </c>
      <c r="C11" s="6">
        <v>14.14</v>
      </c>
    </row>
    <row r="12" spans="1:3" x14ac:dyDescent="0.3">
      <c r="A12" s="5">
        <v>8</v>
      </c>
      <c r="B12" s="6">
        <v>55.3</v>
      </c>
      <c r="C12" s="6">
        <v>18.87</v>
      </c>
    </row>
    <row r="13" spans="1:3" x14ac:dyDescent="0.3">
      <c r="A13" s="5">
        <v>9</v>
      </c>
      <c r="B13" s="6">
        <v>69.900000000000006</v>
      </c>
      <c r="C13" s="6">
        <v>15.72</v>
      </c>
    </row>
    <row r="14" spans="1:3" x14ac:dyDescent="0.3">
      <c r="A14" s="5">
        <v>10</v>
      </c>
      <c r="B14" s="6">
        <v>37.42</v>
      </c>
      <c r="C14" s="6">
        <v>11.37</v>
      </c>
    </row>
    <row r="15" spans="1:3" x14ac:dyDescent="0.3">
      <c r="A15" s="1" t="s">
        <v>3</v>
      </c>
      <c r="B15" s="7">
        <f>AVERAGE(B5:B14)</f>
        <v>45.49</v>
      </c>
      <c r="C15" s="7">
        <f>AVERAGE(C5:C14)</f>
        <v>14.363</v>
      </c>
    </row>
    <row r="16" spans="1:3" x14ac:dyDescent="0.3">
      <c r="A16" s="1" t="s">
        <v>4</v>
      </c>
      <c r="B16" s="7">
        <f>STDEV(B5:B14)</f>
        <v>10.755849054764964</v>
      </c>
      <c r="C16" s="7">
        <f>STDEV(C5:C14)</f>
        <v>2.144320923327983</v>
      </c>
    </row>
    <row r="17" spans="1:4" x14ac:dyDescent="0.3">
      <c r="A17" s="1" t="s">
        <v>8</v>
      </c>
      <c r="B17" s="7">
        <f>PERCENTILE(B5:B14,0.95)</f>
        <v>63.329999999999984</v>
      </c>
      <c r="C17" s="7">
        <f>PERCENTILE(C5:C14,0.95)</f>
        <v>17.762999999999998</v>
      </c>
    </row>
    <row r="19" spans="1:4" x14ac:dyDescent="0.3">
      <c r="A19" s="1" t="s">
        <v>5</v>
      </c>
      <c r="B19" s="8">
        <f>B15/C15</f>
        <v>3.1671656339204906</v>
      </c>
      <c r="C19" s="8"/>
    </row>
    <row r="20" spans="1:4" x14ac:dyDescent="0.3">
      <c r="A20" s="1" t="s">
        <v>9</v>
      </c>
      <c r="B20" s="8" t="str">
        <f>IF(B19&gt;2,"SI","NO")</f>
        <v>SI</v>
      </c>
      <c r="C20" s="8"/>
    </row>
    <row r="22" spans="1:4" x14ac:dyDescent="0.3">
      <c r="D22" s="9"/>
    </row>
  </sheetData>
  <mergeCells count="4">
    <mergeCell ref="A1:C1"/>
    <mergeCell ref="A2:C2"/>
    <mergeCell ref="B19:C19"/>
    <mergeCell ref="B20:C2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Benchmark Cache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Zaida Taipe</cp:lastModifiedBy>
  <cp:revision>0</cp:revision>
  <dcterms:created xsi:type="dcterms:W3CDTF">2026-07-14T03:19:45Z</dcterms:created>
  <dcterms:modified xsi:type="dcterms:W3CDTF">2026-07-17T06:23:46Z</dcterms:modified>
  <dc:language>en-US</dc:language>
</cp:coreProperties>
</file>